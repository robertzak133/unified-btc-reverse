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zakjr 1/Library/CloudStorage/GoogleDrive-robert.zak@comcast.net/My Drive/local_repositories/unified-btc-reverse/doc/"/>
    </mc:Choice>
  </mc:AlternateContent>
  <xr:revisionPtr revIDLastSave="0" documentId="13_ncr:1_{E80B1D9C-F56B-A845-B3A9-D78124720A21}" xr6:coauthVersionLast="47" xr6:coauthVersionMax="47" xr10:uidLastSave="{00000000-0000-0000-0000-000000000000}"/>
  <bookViews>
    <workbookView xWindow="41880" yWindow="680" windowWidth="30120" windowHeight="17580" activeTab="3" xr2:uid="{25DE80F5-B7AB-4270-97E5-DFA9947B1042}"/>
  </bookViews>
  <sheets>
    <sheet name="Cover" sheetId="1" r:id="rId1"/>
    <sheet name="CircuitBoardRevisions" sheetId="2" r:id="rId2"/>
    <sheet name="BTC-7E-HP5 TP" sheetId="3" r:id="rId3"/>
    <sheet name="Chart1" sheetId="6" r:id="rId4"/>
    <sheet name="MeasuredVoltageXfer" sheetId="4" r:id="rId5"/>
    <sheet name="Sheet3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5" l="1"/>
  <c r="B56" i="5" s="1"/>
  <c r="B53" i="5"/>
  <c r="C10" i="5"/>
  <c r="E10" i="5" s="1"/>
  <c r="B10" i="5"/>
  <c r="D10" i="5"/>
  <c r="A11" i="5"/>
  <c r="C11" i="5" s="1"/>
  <c r="E11" i="5" s="1"/>
  <c r="B11" i="5" l="1"/>
  <c r="D11" i="5"/>
  <c r="A12" i="5"/>
  <c r="C12" i="5" l="1"/>
  <c r="E12" i="5" s="1"/>
  <c r="B12" i="5"/>
  <c r="A13" i="5"/>
  <c r="D12" i="5"/>
  <c r="B13" i="5" l="1"/>
  <c r="C13" i="5"/>
  <c r="E13" i="5" s="1"/>
  <c r="A14" i="5"/>
  <c r="D13" i="5"/>
  <c r="B14" i="5" l="1"/>
  <c r="C14" i="5"/>
  <c r="E14" i="5" s="1"/>
  <c r="A15" i="5"/>
  <c r="D14" i="5"/>
  <c r="C15" i="5" l="1"/>
  <c r="E15" i="5" s="1"/>
  <c r="B15" i="5"/>
  <c r="A16" i="5"/>
  <c r="D15" i="5"/>
  <c r="C16" i="5" l="1"/>
  <c r="E16" i="5" s="1"/>
  <c r="B16" i="5"/>
  <c r="A17" i="5"/>
  <c r="D16" i="5"/>
  <c r="C17" i="5" l="1"/>
  <c r="E17" i="5" s="1"/>
  <c r="B17" i="5"/>
  <c r="A18" i="5"/>
  <c r="D17" i="5"/>
  <c r="B18" i="5" l="1"/>
  <c r="C18" i="5"/>
  <c r="E18" i="5" s="1"/>
  <c r="A19" i="5"/>
  <c r="D18" i="5"/>
  <c r="B19" i="5" l="1"/>
  <c r="C19" i="5"/>
  <c r="E19" i="5" s="1"/>
  <c r="A20" i="5"/>
  <c r="D19" i="5"/>
  <c r="B20" i="5" l="1"/>
  <c r="C20" i="5"/>
  <c r="E20" i="5" s="1"/>
  <c r="A21" i="5"/>
  <c r="D20" i="5"/>
  <c r="C21" i="5" l="1"/>
  <c r="E21" i="5" s="1"/>
  <c r="B21" i="5"/>
  <c r="A22" i="5"/>
  <c r="D21" i="5"/>
  <c r="B22" i="5" l="1"/>
  <c r="C22" i="5"/>
  <c r="E22" i="5" s="1"/>
  <c r="A23" i="5"/>
  <c r="D22" i="5"/>
  <c r="B23" i="5" l="1"/>
  <c r="C23" i="5"/>
  <c r="E23" i="5" s="1"/>
  <c r="A24" i="5"/>
  <c r="D23" i="5"/>
  <c r="C24" i="5" l="1"/>
  <c r="E24" i="5" s="1"/>
  <c r="B24" i="5"/>
  <c r="A25" i="5"/>
  <c r="D24" i="5"/>
  <c r="C25" i="5" l="1"/>
  <c r="E25" i="5" s="1"/>
  <c r="B25" i="5"/>
  <c r="A26" i="5"/>
  <c r="D25" i="5"/>
  <c r="C26" i="5" l="1"/>
  <c r="E26" i="5" s="1"/>
  <c r="B26" i="5"/>
  <c r="A27" i="5"/>
  <c r="D26" i="5"/>
  <c r="B27" i="5" l="1"/>
  <c r="C27" i="5"/>
  <c r="E27" i="5" s="1"/>
  <c r="A28" i="5"/>
  <c r="D27" i="5"/>
  <c r="C28" i="5" l="1"/>
  <c r="E28" i="5" s="1"/>
  <c r="B28" i="5"/>
  <c r="A29" i="5"/>
  <c r="D28" i="5"/>
  <c r="B29" i="5" l="1"/>
  <c r="C29" i="5"/>
  <c r="E29" i="5" s="1"/>
  <c r="A30" i="5"/>
  <c r="D29" i="5"/>
  <c r="B30" i="5" l="1"/>
  <c r="C30" i="5"/>
  <c r="E30" i="5" s="1"/>
  <c r="A31" i="5"/>
  <c r="D30" i="5"/>
  <c r="C31" i="5" l="1"/>
  <c r="E31" i="5" s="1"/>
  <c r="B31" i="5"/>
  <c r="A32" i="5"/>
  <c r="D31" i="5"/>
  <c r="C32" i="5" l="1"/>
  <c r="E32" i="5" s="1"/>
  <c r="B32" i="5"/>
  <c r="A33" i="5"/>
  <c r="D32" i="5"/>
  <c r="C33" i="5" l="1"/>
  <c r="E33" i="5" s="1"/>
  <c r="B33" i="5"/>
  <c r="A34" i="5"/>
  <c r="D33" i="5"/>
  <c r="C34" i="5" l="1"/>
  <c r="E34" i="5" s="1"/>
  <c r="B34" i="5"/>
  <c r="D34" i="5"/>
  <c r="A35" i="5"/>
  <c r="B35" i="5" l="1"/>
  <c r="C35" i="5"/>
  <c r="E35" i="5" s="1"/>
  <c r="A36" i="5"/>
  <c r="D35" i="5"/>
  <c r="B36" i="5" l="1"/>
  <c r="C36" i="5"/>
  <c r="E36" i="5" s="1"/>
  <c r="A37" i="5"/>
  <c r="D36" i="5"/>
  <c r="C37" i="5" l="1"/>
  <c r="E37" i="5" s="1"/>
  <c r="B37" i="5"/>
  <c r="A38" i="5"/>
  <c r="D37" i="5"/>
  <c r="C38" i="5" l="1"/>
  <c r="E38" i="5" s="1"/>
  <c r="B38" i="5"/>
  <c r="A39" i="5"/>
  <c r="D38" i="5"/>
  <c r="B39" i="5" l="1"/>
  <c r="C39" i="5"/>
  <c r="E39" i="5" s="1"/>
  <c r="A40" i="5"/>
  <c r="D39" i="5"/>
  <c r="C40" i="5" l="1"/>
  <c r="E40" i="5" s="1"/>
  <c r="B40" i="5"/>
  <c r="A41" i="5"/>
  <c r="D40" i="5"/>
  <c r="B41" i="5" l="1"/>
  <c r="C41" i="5"/>
  <c r="E41" i="5" s="1"/>
  <c r="A42" i="5"/>
  <c r="D41" i="5"/>
  <c r="C42" i="5" l="1"/>
  <c r="E42" i="5" s="1"/>
  <c r="B42" i="5"/>
  <c r="A43" i="5"/>
  <c r="D42" i="5"/>
  <c r="B43" i="5" l="1"/>
  <c r="C43" i="5"/>
  <c r="E43" i="5" s="1"/>
  <c r="A44" i="5"/>
  <c r="D43" i="5"/>
  <c r="C44" i="5" l="1"/>
  <c r="E44" i="5" s="1"/>
  <c r="B44" i="5"/>
  <c r="A45" i="5"/>
  <c r="D44" i="5"/>
  <c r="B45" i="5" l="1"/>
  <c r="C45" i="5"/>
  <c r="E45" i="5" s="1"/>
  <c r="D45" i="5"/>
</calcChain>
</file>

<file path=xl/sharedStrings.xml><?xml version="1.0" encoding="utf-8"?>
<sst xmlns="http://schemas.openxmlformats.org/spreadsheetml/2006/main" count="54" uniqueCount="45">
  <si>
    <t>Documenting PCB Attributes for Trail Cameras</t>
  </si>
  <si>
    <t>Zak</t>
  </si>
  <si>
    <t>Created</t>
  </si>
  <si>
    <t>Camera Model</t>
  </si>
  <si>
    <t>Circuit Board Type</t>
  </si>
  <si>
    <t>First String</t>
  </si>
  <si>
    <t>Second String</t>
  </si>
  <si>
    <t>Date</t>
  </si>
  <si>
    <t>BTC-7E</t>
  </si>
  <si>
    <t>MAIN</t>
  </si>
  <si>
    <t>V4_1_20201204</t>
  </si>
  <si>
    <t>SHC011_BTC-7E_MAIN</t>
  </si>
  <si>
    <t>20190830_V02</t>
  </si>
  <si>
    <t>Version</t>
  </si>
  <si>
    <t>78E-HP5_MAIN</t>
  </si>
  <si>
    <t>220919_V3_1</t>
  </si>
  <si>
    <t>SN</t>
  </si>
  <si>
    <t>12010152809237HP5</t>
  </si>
  <si>
    <t>BTC-7E-HP5</t>
  </si>
  <si>
    <t>20210826_V2_0</t>
  </si>
  <si>
    <t>Test Point</t>
  </si>
  <si>
    <t>Volts</t>
  </si>
  <si>
    <t>actua voltage</t>
  </si>
  <si>
    <t>reported voltage</t>
  </si>
  <si>
    <t>Cutuout</t>
  </si>
  <si>
    <t>Voltage Algorithm</t>
  </si>
  <si>
    <t>Battery Voltage</t>
  </si>
  <si>
    <t>R111</t>
  </si>
  <si>
    <t>Ohms</t>
  </si>
  <si>
    <t>Voltage to ADC</t>
  </si>
  <si>
    <t>R???</t>
  </si>
  <si>
    <t>Idle Current</t>
  </si>
  <si>
    <t>ADC REF</t>
  </si>
  <si>
    <t>ADC_Value</t>
  </si>
  <si>
    <t>Working Camera</t>
  </si>
  <si>
    <t>Broken Camera</t>
  </si>
  <si>
    <t xml:space="preserve">at </t>
  </si>
  <si>
    <t>13.6 volts</t>
  </si>
  <si>
    <t>Measured</t>
  </si>
  <si>
    <t>2.0 volts</t>
  </si>
  <si>
    <t>on both cameras!  WTF?</t>
  </si>
  <si>
    <t>ADC Value</t>
  </si>
  <si>
    <t>x500</t>
  </si>
  <si>
    <t>ivar2</t>
  </si>
  <si>
    <t>/ivar2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</si>
</sst>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11" fontId="0" fillId="0" borderId="0" xfId="0" applyNumberFormat="1"/>
    <xf numFmtId="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5.xml"/><Relationship Id="rId5" Type="http://schemas.openxmlformats.org/officeDocument/2006/relationships/worksheet" Target="worksheets/sheet4.xml"/><Relationship Id="rId10" Type="http://schemas.openxmlformats.org/officeDocument/2006/relationships/calcChain" Target="calcChain.xml"/><Relationship Id="rId4" Type="http://schemas.openxmlformats.org/officeDocument/2006/relationships/chartsheet" Target="chartsheets/sheet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Converting</a:t>
            </a:r>
            <a:r>
              <a:rPr lang="en-US" sz="2000" baseline="0"/>
              <a:t> Battery ADC Value to Voltage w/ Corrupted VOLTCALIB.BIN File</a:t>
            </a:r>
            <a:endParaRPr lang="en-US" sz="2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MeasuredVoltageXfer!$A$4:$A$35</c:f>
              <c:numCache>
                <c:formatCode>General</c:formatCode>
                <c:ptCount val="32"/>
                <c:pt idx="0">
                  <c:v>10.9</c:v>
                </c:pt>
                <c:pt idx="1">
                  <c:v>11</c:v>
                </c:pt>
                <c:pt idx="2">
                  <c:v>11.1</c:v>
                </c:pt>
                <c:pt idx="3">
                  <c:v>11.2</c:v>
                </c:pt>
                <c:pt idx="4">
                  <c:v>11.36</c:v>
                </c:pt>
                <c:pt idx="5">
                  <c:v>11.35</c:v>
                </c:pt>
                <c:pt idx="6">
                  <c:v>11.5</c:v>
                </c:pt>
                <c:pt idx="7">
                  <c:v>11.6</c:v>
                </c:pt>
                <c:pt idx="8">
                  <c:v>11.7</c:v>
                </c:pt>
                <c:pt idx="9">
                  <c:v>11.8</c:v>
                </c:pt>
                <c:pt idx="10">
                  <c:v>11.9</c:v>
                </c:pt>
                <c:pt idx="11">
                  <c:v>12</c:v>
                </c:pt>
                <c:pt idx="12">
                  <c:v>12.1</c:v>
                </c:pt>
                <c:pt idx="13">
                  <c:v>12.2</c:v>
                </c:pt>
                <c:pt idx="14">
                  <c:v>12.3</c:v>
                </c:pt>
                <c:pt idx="15">
                  <c:v>12.4</c:v>
                </c:pt>
                <c:pt idx="16">
                  <c:v>12.5</c:v>
                </c:pt>
                <c:pt idx="17">
                  <c:v>12.6</c:v>
                </c:pt>
                <c:pt idx="18">
                  <c:v>12.7</c:v>
                </c:pt>
                <c:pt idx="19">
                  <c:v>12.8</c:v>
                </c:pt>
                <c:pt idx="20">
                  <c:v>12.9</c:v>
                </c:pt>
                <c:pt idx="21">
                  <c:v>13</c:v>
                </c:pt>
                <c:pt idx="22">
                  <c:v>13.1</c:v>
                </c:pt>
                <c:pt idx="23">
                  <c:v>13.2</c:v>
                </c:pt>
                <c:pt idx="24">
                  <c:v>13.3</c:v>
                </c:pt>
                <c:pt idx="25">
                  <c:v>13.4</c:v>
                </c:pt>
                <c:pt idx="26">
                  <c:v>13.5</c:v>
                </c:pt>
                <c:pt idx="27">
                  <c:v>13.6</c:v>
                </c:pt>
                <c:pt idx="28">
                  <c:v>13.7</c:v>
                </c:pt>
                <c:pt idx="29">
                  <c:v>13.8</c:v>
                </c:pt>
                <c:pt idx="30">
                  <c:v>13.9</c:v>
                </c:pt>
                <c:pt idx="31">
                  <c:v>14</c:v>
                </c:pt>
              </c:numCache>
            </c:numRef>
          </c:xVal>
          <c:yVal>
            <c:numRef>
              <c:f>MeasuredVoltageXfer!$B$4:$B$35</c:f>
              <c:numCache>
                <c:formatCode>General</c:formatCode>
                <c:ptCount val="32"/>
                <c:pt idx="0">
                  <c:v>648.36</c:v>
                </c:pt>
                <c:pt idx="1">
                  <c:v>618.36</c:v>
                </c:pt>
                <c:pt idx="2">
                  <c:v>578.36</c:v>
                </c:pt>
                <c:pt idx="3">
                  <c:v>548.36</c:v>
                </c:pt>
                <c:pt idx="4">
                  <c:v>483.36</c:v>
                </c:pt>
                <c:pt idx="5">
                  <c:v>503.36</c:v>
                </c:pt>
                <c:pt idx="6">
                  <c:v>438.36</c:v>
                </c:pt>
                <c:pt idx="7">
                  <c:v>408.36</c:v>
                </c:pt>
                <c:pt idx="8">
                  <c:v>368.36</c:v>
                </c:pt>
                <c:pt idx="9">
                  <c:v>348.36</c:v>
                </c:pt>
                <c:pt idx="10">
                  <c:v>308.36</c:v>
                </c:pt>
                <c:pt idx="11">
                  <c:v>278.36</c:v>
                </c:pt>
                <c:pt idx="12">
                  <c:v>248.36</c:v>
                </c:pt>
                <c:pt idx="13">
                  <c:v>213.36</c:v>
                </c:pt>
                <c:pt idx="14">
                  <c:v>183.36</c:v>
                </c:pt>
                <c:pt idx="15">
                  <c:v>138.36000000000001</c:v>
                </c:pt>
                <c:pt idx="16">
                  <c:v>98.36</c:v>
                </c:pt>
                <c:pt idx="17">
                  <c:v>68.36</c:v>
                </c:pt>
                <c:pt idx="18">
                  <c:v>38.36</c:v>
                </c:pt>
                <c:pt idx="19">
                  <c:v>8.36</c:v>
                </c:pt>
                <c:pt idx="20">
                  <c:v>628.72</c:v>
                </c:pt>
                <c:pt idx="21">
                  <c:v>598.36</c:v>
                </c:pt>
                <c:pt idx="22">
                  <c:v>568.36</c:v>
                </c:pt>
                <c:pt idx="23">
                  <c:v>528.72</c:v>
                </c:pt>
                <c:pt idx="24">
                  <c:v>483.72</c:v>
                </c:pt>
                <c:pt idx="25">
                  <c:v>448.72</c:v>
                </c:pt>
                <c:pt idx="26">
                  <c:v>423.72</c:v>
                </c:pt>
                <c:pt idx="27">
                  <c:v>383.72</c:v>
                </c:pt>
                <c:pt idx="28">
                  <c:v>353.72</c:v>
                </c:pt>
                <c:pt idx="29">
                  <c:v>323.72000000000003</c:v>
                </c:pt>
                <c:pt idx="30">
                  <c:v>288.72000000000003</c:v>
                </c:pt>
                <c:pt idx="31">
                  <c:v>253.72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4E-7D48-B5A8-92B2F3B2A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8407248"/>
        <c:axId val="258685296"/>
      </c:scatterChart>
      <c:valAx>
        <c:axId val="668407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Actual Voltage (Volts)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85296"/>
        <c:crosses val="autoZero"/>
        <c:crossBetween val="midCat"/>
      </c:valAx>
      <c:valAx>
        <c:axId val="2586852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6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600"/>
                  <a:t>Camera</a:t>
                </a:r>
              </a:p>
              <a:p>
                <a:pPr>
                  <a:defRPr sz="1600"/>
                </a:pPr>
                <a:r>
                  <a:rPr lang="en-US" sz="1600" baseline="0"/>
                  <a:t> Reported Voltage</a:t>
                </a:r>
                <a:endParaRPr lang="en-US" sz="16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6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84072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FA266EC-FB13-4743-8596-18AEFD372F04}">
  <sheetPr/>
  <sheetViews>
    <sheetView tabSelected="1" zoomScale="125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6640" cy="628904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185B6D-5D48-8BB4-439B-20BD826D4D3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C5BAB-DD92-4D29-8F0E-339C35BA3998}">
  <dimension ref="A2:C4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9.5" bestFit="1" customWidth="1"/>
  </cols>
  <sheetData>
    <row r="2" spans="1:3" x14ac:dyDescent="0.2">
      <c r="A2" t="s">
        <v>0</v>
      </c>
    </row>
    <row r="4" spans="1:3" x14ac:dyDescent="0.2">
      <c r="A4" s="1">
        <v>45729</v>
      </c>
      <c r="B4" t="s">
        <v>1</v>
      </c>
      <c r="C4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F7164-95D0-4095-BB8F-7BD422136E89}">
  <dimension ref="A1:G5"/>
  <sheetViews>
    <sheetView workbookViewId="0">
      <selection activeCell="D5" sqref="D5"/>
    </sheetView>
  </sheetViews>
  <sheetFormatPr baseColWidth="10" defaultColWidth="8.83203125" defaultRowHeight="15" x14ac:dyDescent="0.2"/>
  <cols>
    <col min="1" max="1" width="14.5" customWidth="1"/>
    <col min="2" max="2" width="17.1640625" customWidth="1"/>
    <col min="3" max="3" width="21.1640625" bestFit="1" customWidth="1"/>
    <col min="4" max="4" width="18.83203125" customWidth="1"/>
    <col min="5" max="5" width="9.5" bestFit="1" customWidth="1"/>
    <col min="7" max="7" width="25.83203125" customWidth="1"/>
  </cols>
  <sheetData>
    <row r="1" spans="1:7" x14ac:dyDescent="0.2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13</v>
      </c>
      <c r="G1" t="s">
        <v>16</v>
      </c>
    </row>
    <row r="2" spans="1:7" x14ac:dyDescent="0.2">
      <c r="A2" t="s">
        <v>8</v>
      </c>
      <c r="B2" t="s">
        <v>9</v>
      </c>
      <c r="C2" t="s">
        <v>11</v>
      </c>
      <c r="D2" t="s">
        <v>10</v>
      </c>
      <c r="E2" s="1">
        <v>44169</v>
      </c>
      <c r="F2">
        <v>4</v>
      </c>
    </row>
    <row r="3" spans="1:7" x14ac:dyDescent="0.2">
      <c r="A3" t="s">
        <v>8</v>
      </c>
      <c r="B3" t="s">
        <v>9</v>
      </c>
      <c r="C3" t="s">
        <v>11</v>
      </c>
      <c r="D3" t="s">
        <v>12</v>
      </c>
      <c r="E3" s="1">
        <v>43707</v>
      </c>
      <c r="F3">
        <v>2</v>
      </c>
    </row>
    <row r="4" spans="1:7" x14ac:dyDescent="0.2">
      <c r="A4" t="s">
        <v>18</v>
      </c>
      <c r="B4" t="s">
        <v>9</v>
      </c>
      <c r="C4" t="s">
        <v>14</v>
      </c>
      <c r="D4" t="s">
        <v>15</v>
      </c>
      <c r="E4" s="1">
        <v>44823</v>
      </c>
      <c r="F4">
        <v>3</v>
      </c>
      <c r="G4" t="s">
        <v>17</v>
      </c>
    </row>
    <row r="5" spans="1:7" x14ac:dyDescent="0.2">
      <c r="A5" t="s">
        <v>18</v>
      </c>
      <c r="B5" t="s">
        <v>9</v>
      </c>
      <c r="C5" t="s">
        <v>14</v>
      </c>
      <c r="D5" t="s">
        <v>19</v>
      </c>
      <c r="E5" s="1">
        <v>44434</v>
      </c>
      <c r="F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10CBE-E661-A54E-B7D2-679029AECFB3}">
  <dimension ref="A2:C52"/>
  <sheetViews>
    <sheetView topLeftCell="A8" workbookViewId="0">
      <selection activeCell="B30" sqref="B30"/>
    </sheetView>
  </sheetViews>
  <sheetFormatPr baseColWidth="10" defaultRowHeight="15" x14ac:dyDescent="0.2"/>
  <sheetData>
    <row r="2" spans="1:2" x14ac:dyDescent="0.2">
      <c r="A2" t="s">
        <v>20</v>
      </c>
    </row>
    <row r="3" spans="1:2" x14ac:dyDescent="0.2">
      <c r="A3">
        <v>1</v>
      </c>
    </row>
    <row r="4" spans="1:2" x14ac:dyDescent="0.2">
      <c r="A4">
        <v>2</v>
      </c>
      <c r="B4">
        <v>1.4</v>
      </c>
    </row>
    <row r="5" spans="1:2" x14ac:dyDescent="0.2">
      <c r="A5">
        <v>3</v>
      </c>
    </row>
    <row r="6" spans="1:2" x14ac:dyDescent="0.2">
      <c r="A6">
        <v>4</v>
      </c>
      <c r="B6">
        <v>3.2</v>
      </c>
    </row>
    <row r="7" spans="1:2" x14ac:dyDescent="0.2">
      <c r="A7">
        <v>5</v>
      </c>
    </row>
    <row r="8" spans="1:2" x14ac:dyDescent="0.2">
      <c r="A8">
        <v>6</v>
      </c>
      <c r="B8">
        <v>0</v>
      </c>
    </row>
    <row r="9" spans="1:2" x14ac:dyDescent="0.2">
      <c r="A9">
        <v>7</v>
      </c>
      <c r="B9">
        <v>0</v>
      </c>
    </row>
    <row r="10" spans="1:2" x14ac:dyDescent="0.2">
      <c r="A10">
        <v>8</v>
      </c>
      <c r="B10">
        <v>0</v>
      </c>
    </row>
    <row r="11" spans="1:2" x14ac:dyDescent="0.2">
      <c r="A11">
        <v>9</v>
      </c>
      <c r="B11">
        <v>3.3</v>
      </c>
    </row>
    <row r="12" spans="1:2" x14ac:dyDescent="0.2">
      <c r="A12">
        <v>10</v>
      </c>
      <c r="B12">
        <v>0</v>
      </c>
    </row>
    <row r="13" spans="1:2" x14ac:dyDescent="0.2">
      <c r="A13">
        <v>11</v>
      </c>
    </row>
    <row r="14" spans="1:2" x14ac:dyDescent="0.2">
      <c r="A14">
        <v>12</v>
      </c>
    </row>
    <row r="15" spans="1:2" x14ac:dyDescent="0.2">
      <c r="A15">
        <v>13</v>
      </c>
    </row>
    <row r="16" spans="1:2" x14ac:dyDescent="0.2">
      <c r="A16">
        <v>14</v>
      </c>
    </row>
    <row r="17" spans="1:2" x14ac:dyDescent="0.2">
      <c r="A17">
        <v>15</v>
      </c>
    </row>
    <row r="18" spans="1:2" x14ac:dyDescent="0.2">
      <c r="A18">
        <v>16</v>
      </c>
    </row>
    <row r="19" spans="1:2" x14ac:dyDescent="0.2">
      <c r="A19">
        <v>17</v>
      </c>
    </row>
    <row r="20" spans="1:2" x14ac:dyDescent="0.2">
      <c r="A20">
        <v>18</v>
      </c>
    </row>
    <row r="21" spans="1:2" x14ac:dyDescent="0.2">
      <c r="A21">
        <v>19</v>
      </c>
    </row>
    <row r="22" spans="1:2" x14ac:dyDescent="0.2">
      <c r="A22">
        <v>20</v>
      </c>
      <c r="B22">
        <v>0</v>
      </c>
    </row>
    <row r="23" spans="1:2" x14ac:dyDescent="0.2">
      <c r="A23">
        <v>21</v>
      </c>
    </row>
    <row r="24" spans="1:2" x14ac:dyDescent="0.2">
      <c r="A24">
        <v>22</v>
      </c>
      <c r="B24">
        <v>3.3</v>
      </c>
    </row>
    <row r="25" spans="1:2" x14ac:dyDescent="0.2">
      <c r="A25">
        <v>23</v>
      </c>
      <c r="B25">
        <v>0</v>
      </c>
    </row>
    <row r="26" spans="1:2" x14ac:dyDescent="0.2">
      <c r="A26">
        <v>24</v>
      </c>
    </row>
    <row r="27" spans="1:2" x14ac:dyDescent="0.2">
      <c r="A27">
        <v>25</v>
      </c>
      <c r="B27">
        <v>3.3</v>
      </c>
    </row>
    <row r="28" spans="1:2" x14ac:dyDescent="0.2">
      <c r="A28">
        <v>26</v>
      </c>
    </row>
    <row r="29" spans="1:2" x14ac:dyDescent="0.2">
      <c r="A29">
        <v>27</v>
      </c>
      <c r="B29">
        <v>0</v>
      </c>
    </row>
    <row r="30" spans="1:2" x14ac:dyDescent="0.2">
      <c r="A30">
        <v>28</v>
      </c>
    </row>
    <row r="31" spans="1:2" x14ac:dyDescent="0.2">
      <c r="A31">
        <v>29</v>
      </c>
      <c r="B31">
        <v>2.8</v>
      </c>
    </row>
    <row r="32" spans="1:2" x14ac:dyDescent="0.2">
      <c r="A32">
        <v>30</v>
      </c>
      <c r="B32">
        <v>0</v>
      </c>
    </row>
    <row r="33" spans="1:3" x14ac:dyDescent="0.2">
      <c r="A33">
        <v>31</v>
      </c>
      <c r="B33">
        <v>0</v>
      </c>
    </row>
    <row r="34" spans="1:3" x14ac:dyDescent="0.2">
      <c r="A34">
        <v>32</v>
      </c>
      <c r="B34">
        <v>0</v>
      </c>
    </row>
    <row r="35" spans="1:3" x14ac:dyDescent="0.2">
      <c r="A35">
        <v>33</v>
      </c>
      <c r="B35">
        <v>0</v>
      </c>
    </row>
    <row r="36" spans="1:3" x14ac:dyDescent="0.2">
      <c r="A36">
        <v>34</v>
      </c>
    </row>
    <row r="37" spans="1:3" x14ac:dyDescent="0.2">
      <c r="A37">
        <v>35</v>
      </c>
      <c r="B37">
        <v>3.3</v>
      </c>
    </row>
    <row r="38" spans="1:3" x14ac:dyDescent="0.2">
      <c r="A38">
        <v>36</v>
      </c>
    </row>
    <row r="39" spans="1:3" x14ac:dyDescent="0.2">
      <c r="A39">
        <v>37</v>
      </c>
    </row>
    <row r="40" spans="1:3" x14ac:dyDescent="0.2">
      <c r="A40">
        <v>38</v>
      </c>
      <c r="B40">
        <v>3.2</v>
      </c>
      <c r="C40" t="s">
        <v>21</v>
      </c>
    </row>
    <row r="41" spans="1:3" x14ac:dyDescent="0.2">
      <c r="A41">
        <v>39</v>
      </c>
      <c r="B41">
        <v>3.3</v>
      </c>
    </row>
    <row r="42" spans="1:3" x14ac:dyDescent="0.2">
      <c r="A42">
        <v>40</v>
      </c>
      <c r="B42">
        <v>0</v>
      </c>
    </row>
    <row r="43" spans="1:3" x14ac:dyDescent="0.2">
      <c r="A43">
        <v>41</v>
      </c>
    </row>
    <row r="44" spans="1:3" x14ac:dyDescent="0.2">
      <c r="A44">
        <v>42</v>
      </c>
    </row>
    <row r="45" spans="1:3" x14ac:dyDescent="0.2">
      <c r="A45">
        <v>43</v>
      </c>
    </row>
    <row r="46" spans="1:3" x14ac:dyDescent="0.2">
      <c r="A46">
        <v>44</v>
      </c>
    </row>
    <row r="47" spans="1:3" x14ac:dyDescent="0.2">
      <c r="A47">
        <v>45</v>
      </c>
      <c r="B47">
        <v>0</v>
      </c>
    </row>
    <row r="48" spans="1:3" x14ac:dyDescent="0.2">
      <c r="A48">
        <v>46</v>
      </c>
    </row>
    <row r="49" spans="1:2" x14ac:dyDescent="0.2">
      <c r="A49">
        <v>47</v>
      </c>
    </row>
    <row r="50" spans="1:2" x14ac:dyDescent="0.2">
      <c r="A50">
        <v>48</v>
      </c>
      <c r="B50">
        <v>3.3</v>
      </c>
    </row>
    <row r="51" spans="1:2" x14ac:dyDescent="0.2">
      <c r="A51">
        <v>49</v>
      </c>
    </row>
    <row r="52" spans="1:2" x14ac:dyDescent="0.2">
      <c r="A52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9302A-F7D8-494D-B9AA-C29B1FCBB364}">
  <dimension ref="A2:B35"/>
  <sheetViews>
    <sheetView topLeftCell="A7" workbookViewId="0">
      <selection activeCell="R10" sqref="R10"/>
    </sheetView>
  </sheetViews>
  <sheetFormatPr baseColWidth="10" defaultRowHeight="15" x14ac:dyDescent="0.2"/>
  <sheetData>
    <row r="2" spans="1:2" x14ac:dyDescent="0.2">
      <c r="A2" t="s">
        <v>22</v>
      </c>
      <c r="B2" t="s">
        <v>23</v>
      </c>
    </row>
    <row r="3" spans="1:2" x14ac:dyDescent="0.2">
      <c r="A3">
        <v>10.8</v>
      </c>
      <c r="B3" t="s">
        <v>24</v>
      </c>
    </row>
    <row r="4" spans="1:2" x14ac:dyDescent="0.2">
      <c r="A4">
        <v>10.9</v>
      </c>
      <c r="B4">
        <v>648.36</v>
      </c>
    </row>
    <row r="5" spans="1:2" x14ac:dyDescent="0.2">
      <c r="A5">
        <v>11</v>
      </c>
      <c r="B5">
        <v>618.36</v>
      </c>
    </row>
    <row r="6" spans="1:2" x14ac:dyDescent="0.2">
      <c r="A6">
        <v>11.1</v>
      </c>
      <c r="B6">
        <v>578.36</v>
      </c>
    </row>
    <row r="7" spans="1:2" x14ac:dyDescent="0.2">
      <c r="A7">
        <v>11.2</v>
      </c>
      <c r="B7">
        <v>548.36</v>
      </c>
    </row>
    <row r="8" spans="1:2" x14ac:dyDescent="0.2">
      <c r="A8">
        <v>11.36</v>
      </c>
      <c r="B8">
        <v>483.36</v>
      </c>
    </row>
    <row r="9" spans="1:2" x14ac:dyDescent="0.2">
      <c r="A9">
        <v>11.35</v>
      </c>
      <c r="B9">
        <v>503.36</v>
      </c>
    </row>
    <row r="10" spans="1:2" x14ac:dyDescent="0.2">
      <c r="A10">
        <v>11.5</v>
      </c>
      <c r="B10">
        <v>438.36</v>
      </c>
    </row>
    <row r="11" spans="1:2" x14ac:dyDescent="0.2">
      <c r="A11">
        <v>11.6</v>
      </c>
      <c r="B11">
        <v>408.36</v>
      </c>
    </row>
    <row r="12" spans="1:2" x14ac:dyDescent="0.2">
      <c r="A12">
        <v>11.7</v>
      </c>
      <c r="B12">
        <v>368.36</v>
      </c>
    </row>
    <row r="13" spans="1:2" x14ac:dyDescent="0.2">
      <c r="A13">
        <v>11.8</v>
      </c>
      <c r="B13">
        <v>348.36</v>
      </c>
    </row>
    <row r="14" spans="1:2" x14ac:dyDescent="0.2">
      <c r="A14">
        <v>11.9</v>
      </c>
      <c r="B14">
        <v>308.36</v>
      </c>
    </row>
    <row r="15" spans="1:2" x14ac:dyDescent="0.2">
      <c r="A15">
        <v>12</v>
      </c>
      <c r="B15">
        <v>278.36</v>
      </c>
    </row>
    <row r="16" spans="1:2" x14ac:dyDescent="0.2">
      <c r="A16">
        <v>12.1</v>
      </c>
      <c r="B16">
        <v>248.36</v>
      </c>
    </row>
    <row r="17" spans="1:2" x14ac:dyDescent="0.2">
      <c r="A17">
        <v>12.2</v>
      </c>
      <c r="B17">
        <v>213.36</v>
      </c>
    </row>
    <row r="18" spans="1:2" x14ac:dyDescent="0.2">
      <c r="A18">
        <v>12.3</v>
      </c>
      <c r="B18">
        <v>183.36</v>
      </c>
    </row>
    <row r="19" spans="1:2" x14ac:dyDescent="0.2">
      <c r="A19">
        <v>12.4</v>
      </c>
      <c r="B19">
        <v>138.36000000000001</v>
      </c>
    </row>
    <row r="20" spans="1:2" x14ac:dyDescent="0.2">
      <c r="A20">
        <v>12.5</v>
      </c>
      <c r="B20">
        <v>98.36</v>
      </c>
    </row>
    <row r="21" spans="1:2" x14ac:dyDescent="0.2">
      <c r="A21">
        <v>12.6</v>
      </c>
      <c r="B21">
        <v>68.36</v>
      </c>
    </row>
    <row r="22" spans="1:2" x14ac:dyDescent="0.2">
      <c r="A22">
        <v>12.7</v>
      </c>
      <c r="B22">
        <v>38.36</v>
      </c>
    </row>
    <row r="23" spans="1:2" x14ac:dyDescent="0.2">
      <c r="A23">
        <v>12.8</v>
      </c>
      <c r="B23">
        <v>8.36</v>
      </c>
    </row>
    <row r="24" spans="1:2" x14ac:dyDescent="0.2">
      <c r="A24">
        <v>12.9</v>
      </c>
      <c r="B24">
        <v>628.72</v>
      </c>
    </row>
    <row r="25" spans="1:2" x14ac:dyDescent="0.2">
      <c r="A25">
        <v>13</v>
      </c>
      <c r="B25">
        <v>598.36</v>
      </c>
    </row>
    <row r="26" spans="1:2" x14ac:dyDescent="0.2">
      <c r="A26">
        <v>13.1</v>
      </c>
      <c r="B26">
        <v>568.36</v>
      </c>
    </row>
    <row r="27" spans="1:2" x14ac:dyDescent="0.2">
      <c r="A27">
        <v>13.2</v>
      </c>
      <c r="B27">
        <v>528.72</v>
      </c>
    </row>
    <row r="28" spans="1:2" x14ac:dyDescent="0.2">
      <c r="A28">
        <v>13.3</v>
      </c>
      <c r="B28">
        <v>483.72</v>
      </c>
    </row>
    <row r="29" spans="1:2" x14ac:dyDescent="0.2">
      <c r="A29">
        <v>13.4</v>
      </c>
      <c r="B29">
        <v>448.72</v>
      </c>
    </row>
    <row r="30" spans="1:2" x14ac:dyDescent="0.2">
      <c r="A30">
        <v>13.5</v>
      </c>
      <c r="B30">
        <v>423.72</v>
      </c>
    </row>
    <row r="31" spans="1:2" x14ac:dyDescent="0.2">
      <c r="A31">
        <v>13.6</v>
      </c>
      <c r="B31">
        <v>383.72</v>
      </c>
    </row>
    <row r="32" spans="1:2" x14ac:dyDescent="0.2">
      <c r="A32">
        <v>13.7</v>
      </c>
      <c r="B32">
        <v>353.72</v>
      </c>
    </row>
    <row r="33" spans="1:2" x14ac:dyDescent="0.2">
      <c r="A33">
        <v>13.8</v>
      </c>
      <c r="B33">
        <v>323.72000000000003</v>
      </c>
    </row>
    <row r="34" spans="1:2" x14ac:dyDescent="0.2">
      <c r="A34">
        <v>13.9</v>
      </c>
      <c r="B34">
        <v>288.72000000000003</v>
      </c>
    </row>
    <row r="35" spans="1:2" x14ac:dyDescent="0.2">
      <c r="A35">
        <v>14</v>
      </c>
      <c r="B35">
        <v>253.72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E8E45-F2CE-9D49-95AD-03E6547BE71C}">
  <dimension ref="A1:F56"/>
  <sheetViews>
    <sheetView topLeftCell="A47" workbookViewId="0">
      <selection activeCell="B55" sqref="B55"/>
    </sheetView>
  </sheetViews>
  <sheetFormatPr baseColWidth="10" defaultRowHeight="15" x14ac:dyDescent="0.2"/>
  <sheetData>
    <row r="1" spans="1:6" x14ac:dyDescent="0.2">
      <c r="A1" t="s">
        <v>25</v>
      </c>
    </row>
    <row r="2" spans="1:6" x14ac:dyDescent="0.2">
      <c r="B2" t="s">
        <v>34</v>
      </c>
      <c r="C2" t="s">
        <v>35</v>
      </c>
    </row>
    <row r="3" spans="1:6" x14ac:dyDescent="0.2">
      <c r="A3" t="s">
        <v>27</v>
      </c>
      <c r="B3" s="2">
        <v>1275000</v>
      </c>
      <c r="C3" s="2">
        <v>5100000</v>
      </c>
      <c r="D3" t="s">
        <v>28</v>
      </c>
    </row>
    <row r="4" spans="1:6" x14ac:dyDescent="0.2">
      <c r="A4" t="s">
        <v>30</v>
      </c>
      <c r="B4" s="2">
        <v>850000</v>
      </c>
      <c r="C4" s="2">
        <v>998300</v>
      </c>
      <c r="D4" t="s">
        <v>28</v>
      </c>
    </row>
    <row r="5" spans="1:6" x14ac:dyDescent="0.2">
      <c r="A5" t="s">
        <v>32</v>
      </c>
      <c r="B5" s="2">
        <v>10</v>
      </c>
      <c r="C5" t="s">
        <v>21</v>
      </c>
    </row>
    <row r="6" spans="1:6" x14ac:dyDescent="0.2">
      <c r="A6" t="s">
        <v>36</v>
      </c>
      <c r="B6" s="2" t="s">
        <v>37</v>
      </c>
    </row>
    <row r="7" spans="1:6" x14ac:dyDescent="0.2">
      <c r="A7" t="s">
        <v>38</v>
      </c>
      <c r="B7" t="s">
        <v>39</v>
      </c>
      <c r="C7" t="s">
        <v>40</v>
      </c>
    </row>
    <row r="9" spans="1:6" x14ac:dyDescent="0.2">
      <c r="A9" t="s">
        <v>26</v>
      </c>
      <c r="B9" t="s">
        <v>29</v>
      </c>
      <c r="D9" t="s">
        <v>31</v>
      </c>
      <c r="E9" t="s">
        <v>33</v>
      </c>
    </row>
    <row r="10" spans="1:6" x14ac:dyDescent="0.2">
      <c r="A10">
        <v>15</v>
      </c>
      <c r="B10" s="3">
        <f>A10*B$4/(B$4+B$3)</f>
        <v>6</v>
      </c>
      <c r="C10" s="3">
        <f>A10*C$4/(C$4+C$3)</f>
        <v>2.4555203909286196</v>
      </c>
      <c r="D10" s="2">
        <f>A10/(C$3+B$4)</f>
        <v>2.5210084033613444E-6</v>
      </c>
      <c r="E10" s="4">
        <f>(C10/B$5)*2^12</f>
        <v>1005.7811521243626</v>
      </c>
      <c r="F10">
        <v>898</v>
      </c>
    </row>
    <row r="11" spans="1:6" x14ac:dyDescent="0.2">
      <c r="A11">
        <f>A10-0.2</f>
        <v>14.8</v>
      </c>
      <c r="B11" s="3">
        <f t="shared" ref="B11:B45" si="0">A11*B$4/(B$4+B$3)</f>
        <v>5.92</v>
      </c>
      <c r="C11" s="3">
        <f t="shared" ref="C11:C45" si="1">A11*C$4/(C$4+C$3)</f>
        <v>2.422780119049571</v>
      </c>
      <c r="D11" s="2">
        <f>A11/(C$3+B$4)</f>
        <v>2.4873949579831934E-6</v>
      </c>
      <c r="E11" s="4">
        <f>(C11/B$5)*2^12</f>
        <v>992.37073676270427</v>
      </c>
    </row>
    <row r="12" spans="1:6" x14ac:dyDescent="0.2">
      <c r="A12">
        <f t="shared" ref="A12:A45" si="2">A11-0.2</f>
        <v>14.600000000000001</v>
      </c>
      <c r="B12" s="3">
        <f t="shared" si="0"/>
        <v>5.8400000000000007</v>
      </c>
      <c r="C12" s="3">
        <f t="shared" si="1"/>
        <v>2.3900398471705233</v>
      </c>
      <c r="D12" s="2">
        <f>A12/(C$3+B$4)</f>
        <v>2.4537815126050424E-6</v>
      </c>
      <c r="E12" s="4">
        <f t="shared" ref="E12:E45" si="3">(C12/B$5)*2^12</f>
        <v>978.96032140104637</v>
      </c>
    </row>
    <row r="13" spans="1:6" x14ac:dyDescent="0.2">
      <c r="A13">
        <f t="shared" si="2"/>
        <v>14.400000000000002</v>
      </c>
      <c r="B13" s="3">
        <f t="shared" si="0"/>
        <v>5.7600000000000007</v>
      </c>
      <c r="C13" s="3">
        <f t="shared" si="1"/>
        <v>2.3572995752914752</v>
      </c>
      <c r="D13" s="2">
        <f>A13/(C$3+B$4)</f>
        <v>2.4201680672268909E-6</v>
      </c>
      <c r="E13" s="4">
        <f t="shared" si="3"/>
        <v>965.54990603938825</v>
      </c>
    </row>
    <row r="14" spans="1:6" x14ac:dyDescent="0.2">
      <c r="A14">
        <f t="shared" si="2"/>
        <v>14.200000000000003</v>
      </c>
      <c r="B14" s="3">
        <f t="shared" si="0"/>
        <v>5.6800000000000006</v>
      </c>
      <c r="C14" s="3">
        <f t="shared" si="1"/>
        <v>2.324559303412427</v>
      </c>
      <c r="D14" s="2">
        <f>A14/(C$3+B$4)</f>
        <v>2.3865546218487399E-6</v>
      </c>
      <c r="E14" s="4">
        <f t="shared" si="3"/>
        <v>952.13949067773012</v>
      </c>
    </row>
    <row r="15" spans="1:6" x14ac:dyDescent="0.2">
      <c r="A15">
        <f t="shared" si="2"/>
        <v>14.000000000000004</v>
      </c>
      <c r="B15" s="3">
        <f t="shared" si="0"/>
        <v>5.6000000000000014</v>
      </c>
      <c r="C15" s="3">
        <f t="shared" si="1"/>
        <v>2.2918190315333788</v>
      </c>
      <c r="D15" s="2">
        <f>A15/(C$3+B$4)</f>
        <v>2.3529411764705889E-6</v>
      </c>
      <c r="E15" s="4">
        <f t="shared" si="3"/>
        <v>938.729075316072</v>
      </c>
    </row>
    <row r="16" spans="1:6" x14ac:dyDescent="0.2">
      <c r="A16">
        <f t="shared" si="2"/>
        <v>13.800000000000004</v>
      </c>
      <c r="B16" s="3">
        <f t="shared" si="0"/>
        <v>5.5200000000000014</v>
      </c>
      <c r="C16" s="3">
        <f t="shared" si="1"/>
        <v>2.2590787596543307</v>
      </c>
      <c r="D16" s="2">
        <f>A16/(C$3+B$4)</f>
        <v>2.3193277310924378E-6</v>
      </c>
      <c r="E16" s="4">
        <f t="shared" si="3"/>
        <v>925.31865995441387</v>
      </c>
    </row>
    <row r="17" spans="1:5" x14ac:dyDescent="0.2">
      <c r="A17">
        <f t="shared" si="2"/>
        <v>13.600000000000005</v>
      </c>
      <c r="B17" s="3">
        <f t="shared" si="0"/>
        <v>5.4400000000000022</v>
      </c>
      <c r="C17" s="3">
        <f t="shared" si="1"/>
        <v>2.2263384877752825</v>
      </c>
      <c r="D17" s="2">
        <f>A17/(C$3+B$4)</f>
        <v>2.2857142857142864E-6</v>
      </c>
      <c r="E17" s="4">
        <f t="shared" si="3"/>
        <v>911.90824459275575</v>
      </c>
    </row>
    <row r="18" spans="1:5" x14ac:dyDescent="0.2">
      <c r="A18">
        <f t="shared" si="2"/>
        <v>13.400000000000006</v>
      </c>
      <c r="B18" s="3">
        <f t="shared" si="0"/>
        <v>5.360000000000003</v>
      </c>
      <c r="C18" s="3">
        <f t="shared" si="1"/>
        <v>2.1935982158962344</v>
      </c>
      <c r="D18" s="2">
        <f>A18/(C$3+B$4)</f>
        <v>2.2521008403361354E-6</v>
      </c>
      <c r="E18" s="4">
        <f t="shared" si="3"/>
        <v>898.49782923109763</v>
      </c>
    </row>
    <row r="19" spans="1:5" x14ac:dyDescent="0.2">
      <c r="A19">
        <f t="shared" si="2"/>
        <v>13.200000000000006</v>
      </c>
      <c r="B19" s="3">
        <f t="shared" si="0"/>
        <v>5.2800000000000029</v>
      </c>
      <c r="C19" s="3">
        <f t="shared" si="1"/>
        <v>2.1608579440171862</v>
      </c>
      <c r="D19" s="2">
        <f>A19/(C$3+B$4)</f>
        <v>2.2184873949579843E-6</v>
      </c>
      <c r="E19" s="4">
        <f t="shared" si="3"/>
        <v>885.0874138694395</v>
      </c>
    </row>
    <row r="20" spans="1:5" x14ac:dyDescent="0.2">
      <c r="A20">
        <f t="shared" si="2"/>
        <v>13.000000000000007</v>
      </c>
      <c r="B20" s="3">
        <f t="shared" si="0"/>
        <v>5.2000000000000028</v>
      </c>
      <c r="C20" s="3">
        <f t="shared" si="1"/>
        <v>2.1281176721381381</v>
      </c>
      <c r="D20" s="2">
        <f>A20/(C$3+B$4)</f>
        <v>2.1848739495798333E-6</v>
      </c>
      <c r="E20" s="4">
        <f t="shared" si="3"/>
        <v>871.67699850778138</v>
      </c>
    </row>
    <row r="21" spans="1:5" x14ac:dyDescent="0.2">
      <c r="A21">
        <f t="shared" si="2"/>
        <v>12.800000000000008</v>
      </c>
      <c r="B21" s="3">
        <f t="shared" si="0"/>
        <v>5.1200000000000037</v>
      </c>
      <c r="C21" s="3">
        <f t="shared" si="1"/>
        <v>2.0953774002590899</v>
      </c>
      <c r="D21" s="2">
        <f>A21/(C$3+B$4)</f>
        <v>2.1512605042016819E-6</v>
      </c>
      <c r="E21" s="4">
        <f t="shared" si="3"/>
        <v>858.26658314612325</v>
      </c>
    </row>
    <row r="22" spans="1:5" x14ac:dyDescent="0.2">
      <c r="A22">
        <f t="shared" si="2"/>
        <v>12.600000000000009</v>
      </c>
      <c r="B22" s="3">
        <f t="shared" si="0"/>
        <v>5.0400000000000036</v>
      </c>
      <c r="C22" s="3">
        <f t="shared" si="1"/>
        <v>2.0626371283800418</v>
      </c>
      <c r="D22" s="2">
        <f>A22/(C$3+B$4)</f>
        <v>2.1176470588235308E-6</v>
      </c>
      <c r="E22" s="4">
        <f t="shared" si="3"/>
        <v>844.85616778446513</v>
      </c>
    </row>
    <row r="23" spans="1:5" x14ac:dyDescent="0.2">
      <c r="A23">
        <f t="shared" si="2"/>
        <v>12.400000000000009</v>
      </c>
      <c r="B23" s="3">
        <f t="shared" si="0"/>
        <v>4.9600000000000035</v>
      </c>
      <c r="C23" s="3">
        <f t="shared" si="1"/>
        <v>2.0298968565009936</v>
      </c>
      <c r="D23" s="2">
        <f>A23/(C$3+B$4)</f>
        <v>2.0840336134453798E-6</v>
      </c>
      <c r="E23" s="4">
        <f t="shared" si="3"/>
        <v>831.445752422807</v>
      </c>
    </row>
    <row r="24" spans="1:5" x14ac:dyDescent="0.2">
      <c r="A24">
        <f t="shared" si="2"/>
        <v>12.20000000000001</v>
      </c>
      <c r="B24" s="3">
        <f t="shared" si="0"/>
        <v>4.8800000000000043</v>
      </c>
      <c r="C24" s="3">
        <f t="shared" si="1"/>
        <v>1.9971565846219455</v>
      </c>
      <c r="D24" s="2">
        <f>A24/(C$3+B$4)</f>
        <v>2.0504201680672284E-6</v>
      </c>
      <c r="E24" s="4">
        <f t="shared" si="3"/>
        <v>818.03533706114888</v>
      </c>
    </row>
    <row r="25" spans="1:5" x14ac:dyDescent="0.2">
      <c r="A25">
        <f t="shared" si="2"/>
        <v>12.000000000000011</v>
      </c>
      <c r="B25" s="3">
        <f t="shared" si="0"/>
        <v>4.8000000000000043</v>
      </c>
      <c r="C25" s="3">
        <f t="shared" si="1"/>
        <v>1.9644163127428973</v>
      </c>
      <c r="D25" s="2">
        <f>A25/(C$3+B$4)</f>
        <v>2.0168067226890773E-6</v>
      </c>
      <c r="E25" s="4">
        <f t="shared" si="3"/>
        <v>804.62492169949076</v>
      </c>
    </row>
    <row r="26" spans="1:5" x14ac:dyDescent="0.2">
      <c r="A26">
        <f t="shared" si="2"/>
        <v>11.800000000000011</v>
      </c>
      <c r="B26" s="3">
        <f t="shared" si="0"/>
        <v>4.7200000000000042</v>
      </c>
      <c r="C26" s="3">
        <f t="shared" si="1"/>
        <v>1.9316760408638491</v>
      </c>
      <c r="D26" s="2">
        <f>A26/(C$3+B$4)</f>
        <v>1.9831932773109263E-6</v>
      </c>
      <c r="E26" s="4">
        <f t="shared" si="3"/>
        <v>791.21450633783263</v>
      </c>
    </row>
    <row r="27" spans="1:5" x14ac:dyDescent="0.2">
      <c r="A27">
        <f t="shared" si="2"/>
        <v>11.600000000000012</v>
      </c>
      <c r="B27" s="3">
        <f t="shared" si="0"/>
        <v>4.640000000000005</v>
      </c>
      <c r="C27" s="3">
        <f t="shared" si="1"/>
        <v>1.8989357689848008</v>
      </c>
      <c r="D27" s="2">
        <f>A27/(C$3+B$4)</f>
        <v>1.9495798319327753E-6</v>
      </c>
      <c r="E27" s="4">
        <f t="shared" si="3"/>
        <v>777.80409097617439</v>
      </c>
    </row>
    <row r="28" spans="1:5" x14ac:dyDescent="0.2">
      <c r="A28">
        <f t="shared" si="2"/>
        <v>11.400000000000013</v>
      </c>
      <c r="B28" s="3">
        <f t="shared" si="0"/>
        <v>4.5600000000000049</v>
      </c>
      <c r="C28" s="3">
        <f t="shared" si="1"/>
        <v>1.8661954971057528</v>
      </c>
      <c r="D28" s="2">
        <f>A28/(C$3+B$4)</f>
        <v>1.9159663865546238E-6</v>
      </c>
      <c r="E28" s="4">
        <f t="shared" si="3"/>
        <v>764.39367561451638</v>
      </c>
    </row>
    <row r="29" spans="1:5" x14ac:dyDescent="0.2">
      <c r="A29">
        <f t="shared" si="2"/>
        <v>11.200000000000014</v>
      </c>
      <c r="B29" s="3">
        <f t="shared" si="0"/>
        <v>4.4800000000000049</v>
      </c>
      <c r="C29" s="3">
        <f t="shared" si="1"/>
        <v>1.8334552252267047</v>
      </c>
      <c r="D29" s="2">
        <f>A29/(C$3+B$4)</f>
        <v>1.8823529411764728E-6</v>
      </c>
      <c r="E29" s="4">
        <f t="shared" si="3"/>
        <v>750.98326025285826</v>
      </c>
    </row>
    <row r="30" spans="1:5" x14ac:dyDescent="0.2">
      <c r="A30">
        <f t="shared" si="2"/>
        <v>11.000000000000014</v>
      </c>
      <c r="B30" s="3">
        <f t="shared" si="0"/>
        <v>4.4000000000000057</v>
      </c>
      <c r="C30" s="3">
        <f t="shared" si="1"/>
        <v>1.8007149533476567</v>
      </c>
      <c r="D30" s="2">
        <f>A30/(C$3+B$4)</f>
        <v>1.8487394957983218E-6</v>
      </c>
      <c r="E30" s="4">
        <f t="shared" si="3"/>
        <v>737.57284489120025</v>
      </c>
    </row>
    <row r="31" spans="1:5" x14ac:dyDescent="0.2">
      <c r="A31">
        <f t="shared" si="2"/>
        <v>10.800000000000015</v>
      </c>
      <c r="B31" s="3">
        <f t="shared" si="0"/>
        <v>4.3200000000000065</v>
      </c>
      <c r="C31" s="3">
        <f t="shared" si="1"/>
        <v>1.7679746814686084</v>
      </c>
      <c r="D31" s="2">
        <f>A31/(C$3+B$4)</f>
        <v>1.8151260504201705E-6</v>
      </c>
      <c r="E31" s="4">
        <f t="shared" si="3"/>
        <v>724.16242952954201</v>
      </c>
    </row>
    <row r="32" spans="1:5" x14ac:dyDescent="0.2">
      <c r="A32">
        <f t="shared" si="2"/>
        <v>10.600000000000016</v>
      </c>
      <c r="B32" s="3">
        <f t="shared" si="0"/>
        <v>4.2400000000000064</v>
      </c>
      <c r="C32" s="3">
        <f t="shared" si="1"/>
        <v>1.7352344095895602</v>
      </c>
      <c r="D32" s="2">
        <f>A32/(C$3+B$4)</f>
        <v>1.7815126050420195E-6</v>
      </c>
      <c r="E32" s="4">
        <f t="shared" si="3"/>
        <v>710.75201416788389</v>
      </c>
    </row>
    <row r="33" spans="1:5" x14ac:dyDescent="0.2">
      <c r="A33">
        <f t="shared" si="2"/>
        <v>10.400000000000016</v>
      </c>
      <c r="B33" s="3">
        <f t="shared" si="0"/>
        <v>4.1600000000000064</v>
      </c>
      <c r="C33" s="3">
        <f t="shared" si="1"/>
        <v>1.7024941377105123</v>
      </c>
      <c r="D33" s="2">
        <f>A33/(C$3+B$4)</f>
        <v>1.7478991596638683E-6</v>
      </c>
      <c r="E33" s="4">
        <f t="shared" si="3"/>
        <v>697.34159880622587</v>
      </c>
    </row>
    <row r="34" spans="1:5" x14ac:dyDescent="0.2">
      <c r="A34">
        <f t="shared" si="2"/>
        <v>10.200000000000017</v>
      </c>
      <c r="B34" s="3">
        <f t="shared" si="0"/>
        <v>4.0800000000000072</v>
      </c>
      <c r="C34" s="3">
        <f t="shared" si="1"/>
        <v>1.6697538658314639</v>
      </c>
      <c r="D34" s="2">
        <f>A34/(C$3+B$4)</f>
        <v>1.7142857142857172E-6</v>
      </c>
      <c r="E34" s="4">
        <f t="shared" si="3"/>
        <v>683.93118344456764</v>
      </c>
    </row>
    <row r="35" spans="1:5" x14ac:dyDescent="0.2">
      <c r="A35">
        <f>A34-0.2</f>
        <v>10.000000000000018</v>
      </c>
      <c r="B35" s="3">
        <f t="shared" si="0"/>
        <v>4.0000000000000071</v>
      </c>
      <c r="C35" s="3">
        <f t="shared" si="1"/>
        <v>1.637013593952416</v>
      </c>
      <c r="D35" s="2">
        <f>A35/(C$3+B$4)</f>
        <v>1.680672268907566E-6</v>
      </c>
      <c r="E35" s="4">
        <f t="shared" si="3"/>
        <v>670.52076808290963</v>
      </c>
    </row>
    <row r="36" spans="1:5" x14ac:dyDescent="0.2">
      <c r="A36">
        <f t="shared" si="2"/>
        <v>9.8000000000000185</v>
      </c>
      <c r="B36" s="3">
        <f t="shared" si="0"/>
        <v>3.9200000000000075</v>
      </c>
      <c r="C36" s="3">
        <f t="shared" si="1"/>
        <v>1.6042733220733678</v>
      </c>
      <c r="D36" s="2">
        <f>A36/(C$3+B$4)</f>
        <v>1.647058823529415E-6</v>
      </c>
      <c r="E36" s="4">
        <f t="shared" si="3"/>
        <v>657.1103527212515</v>
      </c>
    </row>
    <row r="37" spans="1:5" x14ac:dyDescent="0.2">
      <c r="A37">
        <f t="shared" si="2"/>
        <v>9.6000000000000192</v>
      </c>
      <c r="B37" s="3">
        <f t="shared" si="0"/>
        <v>3.8400000000000079</v>
      </c>
      <c r="C37" s="3">
        <f t="shared" si="1"/>
        <v>1.5715330501943194</v>
      </c>
      <c r="D37" s="2">
        <f>A37/(C$3+B$4)</f>
        <v>1.6134453781512637E-6</v>
      </c>
      <c r="E37" s="4">
        <f t="shared" si="3"/>
        <v>643.69993735959326</v>
      </c>
    </row>
    <row r="38" spans="1:5" x14ac:dyDescent="0.2">
      <c r="A38">
        <f t="shared" si="2"/>
        <v>9.4000000000000199</v>
      </c>
      <c r="B38" s="3">
        <f t="shared" si="0"/>
        <v>3.7600000000000078</v>
      </c>
      <c r="C38" s="3">
        <f t="shared" si="1"/>
        <v>1.5387927783152715</v>
      </c>
      <c r="D38" s="2">
        <f>A38/(C$3+B$4)</f>
        <v>1.5798319327731125E-6</v>
      </c>
      <c r="E38" s="4">
        <f t="shared" si="3"/>
        <v>630.28952199793525</v>
      </c>
    </row>
    <row r="39" spans="1:5" x14ac:dyDescent="0.2">
      <c r="A39">
        <f t="shared" si="2"/>
        <v>9.2000000000000206</v>
      </c>
      <c r="B39" s="3">
        <f t="shared" si="0"/>
        <v>3.6800000000000082</v>
      </c>
      <c r="C39" s="3">
        <f t="shared" si="1"/>
        <v>1.5060525064362233</v>
      </c>
      <c r="D39" s="2">
        <f>A39/(C$3+B$4)</f>
        <v>1.5462184873949615E-6</v>
      </c>
      <c r="E39" s="4">
        <f t="shared" si="3"/>
        <v>616.87910663627713</v>
      </c>
    </row>
    <row r="40" spans="1:5" x14ac:dyDescent="0.2">
      <c r="A40">
        <f t="shared" si="2"/>
        <v>9.0000000000000213</v>
      </c>
      <c r="B40" s="3">
        <f t="shared" si="0"/>
        <v>3.6000000000000085</v>
      </c>
      <c r="C40" s="3">
        <f t="shared" si="1"/>
        <v>1.473312234557175</v>
      </c>
      <c r="D40" s="2">
        <f>A40/(C$3+B$4)</f>
        <v>1.5126050420168102E-6</v>
      </c>
      <c r="E40" s="4">
        <f t="shared" si="3"/>
        <v>603.46869127461889</v>
      </c>
    </row>
    <row r="41" spans="1:5" x14ac:dyDescent="0.2">
      <c r="A41">
        <f t="shared" si="2"/>
        <v>8.800000000000022</v>
      </c>
      <c r="B41" s="3">
        <f t="shared" si="0"/>
        <v>3.5200000000000089</v>
      </c>
      <c r="C41" s="3">
        <f t="shared" si="1"/>
        <v>1.440571962678127</v>
      </c>
      <c r="D41" s="2">
        <f>A41/(C$3+B$4)</f>
        <v>1.4789915966386592E-6</v>
      </c>
      <c r="E41" s="4">
        <f t="shared" si="3"/>
        <v>590.05827591296088</v>
      </c>
    </row>
    <row r="42" spans="1:5" x14ac:dyDescent="0.2">
      <c r="A42">
        <f t="shared" si="2"/>
        <v>8.6000000000000227</v>
      </c>
      <c r="B42" s="3">
        <f t="shared" si="0"/>
        <v>3.4400000000000093</v>
      </c>
      <c r="C42" s="3">
        <f t="shared" si="1"/>
        <v>1.4078316907990789</v>
      </c>
      <c r="D42" s="2">
        <f>A42/(C$3+B$4)</f>
        <v>1.445378151260508E-6</v>
      </c>
      <c r="E42" s="4">
        <f t="shared" si="3"/>
        <v>576.64786055130276</v>
      </c>
    </row>
    <row r="43" spans="1:5" x14ac:dyDescent="0.2">
      <c r="A43">
        <f t="shared" si="2"/>
        <v>8.4000000000000234</v>
      </c>
      <c r="B43" s="3">
        <f t="shared" si="0"/>
        <v>3.3600000000000092</v>
      </c>
      <c r="C43" s="3">
        <f t="shared" si="1"/>
        <v>1.3750914189200307</v>
      </c>
      <c r="D43" s="2">
        <f>A43/(C$3+B$4)</f>
        <v>1.4117647058823569E-6</v>
      </c>
      <c r="E43" s="4">
        <f t="shared" si="3"/>
        <v>563.23744518964463</v>
      </c>
    </row>
    <row r="44" spans="1:5" x14ac:dyDescent="0.2">
      <c r="A44">
        <f t="shared" si="2"/>
        <v>8.2000000000000242</v>
      </c>
      <c r="B44" s="3">
        <f t="shared" si="0"/>
        <v>3.2800000000000096</v>
      </c>
      <c r="C44" s="3">
        <f t="shared" si="1"/>
        <v>1.3423511470409826</v>
      </c>
      <c r="D44" s="2">
        <f>A44/(C$3+B$4)</f>
        <v>1.3781512605042057E-6</v>
      </c>
      <c r="E44" s="4">
        <f t="shared" si="3"/>
        <v>549.82702982798651</v>
      </c>
    </row>
    <row r="45" spans="1:5" x14ac:dyDescent="0.2">
      <c r="A45">
        <f t="shared" si="2"/>
        <v>8.0000000000000249</v>
      </c>
      <c r="B45" s="3">
        <f t="shared" si="0"/>
        <v>3.2000000000000099</v>
      </c>
      <c r="C45" s="3">
        <f t="shared" si="1"/>
        <v>1.3096108751619344</v>
      </c>
      <c r="D45" s="2">
        <f>A45/(C$3+B$4)</f>
        <v>1.3445378151260547E-6</v>
      </c>
      <c r="E45" s="4">
        <f t="shared" si="3"/>
        <v>536.41661446632838</v>
      </c>
    </row>
    <row r="52" spans="1:2" x14ac:dyDescent="0.2">
      <c r="A52" t="s">
        <v>41</v>
      </c>
      <c r="B52">
        <v>823</v>
      </c>
    </row>
    <row r="53" spans="1:2" x14ac:dyDescent="0.2">
      <c r="A53" t="s">
        <v>42</v>
      </c>
      <c r="B53">
        <f>B52*500</f>
        <v>411500</v>
      </c>
    </row>
    <row r="54" spans="1:2" x14ac:dyDescent="0.2">
      <c r="A54" t="s">
        <v>43</v>
      </c>
      <c r="B54">
        <v>800</v>
      </c>
    </row>
    <row r="55" spans="1:2" x14ac:dyDescent="0.2">
      <c r="A55" t="s">
        <v>44</v>
      </c>
      <c r="B55">
        <f>TRUNC(B53/B54, 0)</f>
        <v>514</v>
      </c>
    </row>
    <row r="56" spans="1:2" x14ac:dyDescent="0.2">
      <c r="A56">
        <v>800</v>
      </c>
      <c r="B56">
        <f>B55+A56</f>
        <v>1314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Charts</vt:lpstr>
      </vt:variant>
      <vt:variant>
        <vt:i4>1</vt:i4>
      </vt:variant>
    </vt:vector>
  </HeadingPairs>
  <TitlesOfParts>
    <vt:vector size="6" baseType="lpstr">
      <vt:lpstr>Cover</vt:lpstr>
      <vt:lpstr>CircuitBoardRevisions</vt:lpstr>
      <vt:lpstr>BTC-7E-HP5 TP</vt:lpstr>
      <vt:lpstr>MeasuredVoltageXfer</vt:lpstr>
      <vt:lpstr>Sheet3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 Zak</dc:creator>
  <cp:lastModifiedBy>Microsoft Office User</cp:lastModifiedBy>
  <dcterms:created xsi:type="dcterms:W3CDTF">2025-03-13T17:47:56Z</dcterms:created>
  <dcterms:modified xsi:type="dcterms:W3CDTF">2025-04-22T16:41:43Z</dcterms:modified>
</cp:coreProperties>
</file>